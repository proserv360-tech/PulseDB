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  <sheet name="Daily Summary" sheetId="2" state="visible" r:id="rId4"/>
    <sheet name="By Sever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<sst xmlns="http://schemas.openxmlformats.org/spreadsheetml/2006/main" count="147" uniqueCount="84">
  <si>
    <t xml:space="preserve">FATHOM / PostgresTool — Security Audit &amp; Remediation</t>
  </si>
  <si>
    <t xml:space="preserve">Engineer:</t>
  </si>
  <si>
    <t xml:space="preserve">Dilip Patil</t>
  </si>
  <si>
    <t xml:space="preserve">Week of:</t>
  </si>
  <si>
    <t xml:space="preserve">May 18 – May 22, 2026</t>
  </si>
  <si>
    <t xml:space="preserve">Project:</t>
  </si>
  <si>
    <t xml:space="preserve">Backend security audit + 15-fix remediation</t>
  </si>
  <si>
    <t xml:space="preserve">Total hours:</t>
  </si>
  <si>
    <t xml:space="preserve">Date</t>
  </si>
  <si>
    <t xml:space="preserve">Day</t>
  </si>
  <si>
    <t xml:space="preserve">Task ID</t>
  </si>
  <si>
    <t xml:space="preserve">Task / Activity</t>
  </si>
  <si>
    <t xml:space="preserve">Severity</t>
  </si>
  <si>
    <t xml:space="preserve">Hours</t>
  </si>
  <si>
    <t xml:space="preserve">2026-05-18</t>
  </si>
  <si>
    <t xml:space="preserve">Mon</t>
  </si>
  <si>
    <t xml:space="preserve">AUDIT</t>
  </si>
  <si>
    <t xml:space="preserve">Inventory codebase (989 source files) + scope security audit</t>
  </si>
  <si>
    <t xml:space="preserve">—</t>
  </si>
  <si>
    <t xml:space="preserve">Read auth, middleware, route, and service layers; grep high-risk patterns</t>
  </si>
  <si>
    <t xml:space="preserve">Write findings report (16 items) with file:line refs and remediation notes</t>
  </si>
  <si>
    <t xml:space="preserve">2026-05-19</t>
  </si>
  <si>
    <t xml:space="preserve">Tue</t>
  </si>
  <si>
    <t xml:space="preserve">FIX #1</t>
  </si>
  <si>
    <t xml:space="preserve">Delete mock SSO endpoints (/api/auth/sso/*) — anyone-as-admin login bug</t>
  </si>
  <si>
    <t xml:space="preserve">Critical</t>
  </si>
  <si>
    <t xml:space="preserve">FIX #2</t>
  </si>
  <si>
    <t xml:space="preserve">Remove NEW_SCREENS RBAC bypass in issueSession (~80 hardcoded screens)</t>
  </si>
  <si>
    <t xml:space="preserve">FIX #3</t>
  </si>
  <si>
    <t xml:space="preserve">License signature: switch to crypto.timingSafeEqual + 128-bit truncation</t>
  </si>
  <si>
    <t xml:space="preserve">High</t>
  </si>
  <si>
    <t xml:space="preserve">FIX #4</t>
  </si>
  <si>
    <t xml:space="preserve">Harden MongoDB TLS — gate tlsAllowInvalidCertificates behind env var</t>
  </si>
  <si>
    <t xml:space="preserve">REVIEW</t>
  </si>
  <si>
    <t xml:space="preserve">Self-review Tue diffs; run node --check; commit checkpoint</t>
  </si>
  <si>
    <t xml:space="preserve">2026-05-20</t>
  </si>
  <si>
    <t xml:space="preserve">Wed</t>
  </si>
  <si>
    <t xml:space="preserve">FIX #5</t>
  </si>
  <si>
    <t xml:space="preserve">MySQL EXPLAIN validation: add assertExplainSafe + mutation regex</t>
  </si>
  <si>
    <t xml:space="preserve">FIX #14</t>
  </si>
  <si>
    <t xml:space="preserve">Wrap PG EXPLAIN in READ ONLY txn + statement_timeout; MySQL exec-time hint</t>
  </si>
  <si>
    <t xml:space="preserve">Medium</t>
  </si>
  <si>
    <t xml:space="preserve">FIX #6</t>
  </si>
  <si>
    <t xml:space="preserve">Forgot-password: add rate-limit + 250ms min response to flatten timing</t>
  </si>
  <si>
    <t xml:space="preserve">FIX #13</t>
  </si>
  <si>
    <t xml:space="preserve">Drop /\$\d+/ from INJECTION_BYPASS_PATTERNS (false-positive on $N)</t>
  </si>
  <si>
    <t xml:space="preserve">Quality</t>
  </si>
  <si>
    <t xml:space="preserve">Run explainParsers + envValidation tests; add err.status → HTTP mapping</t>
  </si>
  <si>
    <t xml:space="preserve">2026-05-21</t>
  </si>
  <si>
    <t xml:space="preserve">Thu</t>
  </si>
  <si>
    <t xml:space="preserve">FIX #7</t>
  </si>
  <si>
    <t xml:space="preserve">Unify bcrypt cost factors across server.js + userService (10 → 12)</t>
  </si>
  <si>
    <t xml:space="preserve">FIX #8</t>
  </si>
  <si>
    <t xml:space="preserve">Add buildEnforcePasswordChange middleware; wire into authenticate</t>
  </si>
  <si>
    <t xml:space="preserve">FIX #9</t>
  </si>
  <si>
    <t xml:space="preserve">Rewrite 59 catch-and-swallow sites to log WARN with method/path/error</t>
  </si>
  <si>
    <t xml:space="preserve">FIX #10</t>
  </si>
  <si>
    <t xml:space="preserve">Add trimMapToCap; bound csrfTokens, rateBuckets, strictBuckets, loginAttempts, apiKeyRateLimits</t>
  </si>
  <si>
    <t xml:space="preserve">2026-05-22</t>
  </si>
  <si>
    <t xml:space="preserve">Fri</t>
  </si>
  <si>
    <t xml:space="preserve">FIX #11</t>
  </si>
  <si>
    <t xml:space="preserve">Reject legacy JWTs without sid claim (was warning-only)</t>
  </si>
  <si>
    <t xml:space="preserve">FIX #15</t>
  </si>
  <si>
    <t xml:space="preserve">Add radix to all parseInt(req.params.id) + parseInt(req.query.X) sites</t>
  </si>
  <si>
    <t xml:space="preserve">FIX #16</t>
  </si>
  <si>
    <t xml:space="preserve">Delete duplicate middleware/ipWhitelist.js (unused; canonical is ipAllowList)</t>
  </si>
  <si>
    <t xml:space="preserve">VERIFY</t>
  </si>
  <si>
    <t xml:space="preserve">Strip 2,456 trailing NUL bytes from server.js (filesystem corruption)</t>
  </si>
  <si>
    <t xml:space="preserve">Reconstruct 4 truncated files via git baseline + Python re-apply</t>
  </si>
  <si>
    <t xml:space="preserve">Run full test suite (110 tests across 17 suites), smoke-import server.js</t>
  </si>
  <si>
    <t xml:space="preserve">REPORT</t>
  </si>
  <si>
    <t xml:space="preserve">Write fix summary; map each change to audit finding; commit</t>
  </si>
  <si>
    <t xml:space="preserve">Weekly total</t>
  </si>
  <si>
    <t xml:space="preserve">Daily hours summary</t>
  </si>
  <si>
    <t xml:space="preserve">Focus</t>
  </si>
  <si>
    <t xml:space="preserve">Full audit — inventory, review, findings report</t>
  </si>
  <si>
    <t xml:space="preserve">Critical &amp; high fixes — SSO, RBAC, license, MongoDB TLS</t>
  </si>
  <si>
    <t xml:space="preserve">EXPLAIN hardening + forgot-password timing</t>
  </si>
  <si>
    <t xml:space="preserve">Auth middleware, error swallowing, in-memory caps</t>
  </si>
  <si>
    <t xml:space="preserve">Cleanup, file reconstruction, full verification</t>
  </si>
  <si>
    <t xml:space="preserve">Hours by severity</t>
  </si>
  <si>
    <t xml:space="preserve">Count</t>
  </si>
  <si>
    <t xml:space="preserve">Audit / Verify / Review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</si>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</sst>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BFBFB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D966"/>
      </patternFill>
    </fill>
    <fill>
      <patternFill patternType="solid">
        <fgColor rgb="FFC6E0B4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80"/>
    <col collapsed="false" customWidth="true" hidden="false" outlineLevel="0" max="5" min="5" style="0" width="11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0" t="s">
        <v>2</v>
      </c>
      <c r="D2" s="2" t="s">
        <v>3</v>
      </c>
      <c r="E2" s="0" t="s">
        <v>4</v>
      </c>
    </row>
    <row r="3" customFormat="false" ht="15" hidden="false" customHeight="false" outlineLevel="0" collapsed="false">
      <c r="A3" s="2" t="s">
        <v>5</v>
      </c>
      <c r="B3" s="0" t="s">
        <v>6</v>
      </c>
      <c r="D3" s="2" t="s">
        <v>7</v>
      </c>
      <c r="E3" s="3" t="n">
        <f aca="false">F30</f>
        <v>40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15" hidden="false" customHeight="false" outlineLevel="0" collapsed="false">
      <c r="A6" s="5" t="s">
        <v>14</v>
      </c>
      <c r="B6" s="6" t="s">
        <v>15</v>
      </c>
      <c r="C6" s="7" t="s">
        <v>16</v>
      </c>
      <c r="D6" s="8" t="s">
        <v>17</v>
      </c>
      <c r="E6" s="9" t="s">
        <v>18</v>
      </c>
      <c r="F6" s="10" t="n">
        <v>2</v>
      </c>
    </row>
    <row r="7" customFormat="false" ht="15" hidden="false" customHeight="false" outlineLevel="0" collapsed="false">
      <c r="A7" s="11" t="s">
        <v>14</v>
      </c>
      <c r="B7" s="12"/>
      <c r="C7" s="7" t="s">
        <v>16</v>
      </c>
      <c r="D7" s="8" t="s">
        <v>19</v>
      </c>
      <c r="E7" s="9" t="s">
        <v>18</v>
      </c>
      <c r="F7" s="10" t="n">
        <v>3.5</v>
      </c>
    </row>
    <row r="8" customFormat="false" ht="15" hidden="false" customHeight="false" outlineLevel="0" collapsed="false">
      <c r="A8" s="11" t="s">
        <v>14</v>
      </c>
      <c r="B8" s="12"/>
      <c r="C8" s="7" t="s">
        <v>16</v>
      </c>
      <c r="D8" s="8" t="s">
        <v>20</v>
      </c>
      <c r="E8" s="9" t="s">
        <v>18</v>
      </c>
      <c r="F8" s="10" t="n">
        <v>2.5</v>
      </c>
    </row>
    <row r="9" customFormat="false" ht="15" hidden="false" customHeight="false" outlineLevel="0" collapsed="false">
      <c r="A9" s="5" t="s">
        <v>21</v>
      </c>
      <c r="B9" s="6" t="s">
        <v>22</v>
      </c>
      <c r="C9" s="7" t="s">
        <v>23</v>
      </c>
      <c r="D9" s="8" t="s">
        <v>24</v>
      </c>
      <c r="E9" s="13" t="s">
        <v>25</v>
      </c>
      <c r="F9" s="10" t="n">
        <v>2</v>
      </c>
    </row>
    <row r="10" customFormat="false" ht="15" hidden="false" customHeight="false" outlineLevel="0" collapsed="false">
      <c r="A10" s="11" t="s">
        <v>21</v>
      </c>
      <c r="B10" s="12"/>
      <c r="C10" s="7" t="s">
        <v>26</v>
      </c>
      <c r="D10" s="8" t="s">
        <v>27</v>
      </c>
      <c r="E10" s="13" t="s">
        <v>25</v>
      </c>
      <c r="F10" s="10" t="n">
        <v>1.5</v>
      </c>
    </row>
    <row r="11" customFormat="false" ht="15" hidden="false" customHeight="false" outlineLevel="0" collapsed="false">
      <c r="A11" s="11" t="s">
        <v>21</v>
      </c>
      <c r="B11" s="12"/>
      <c r="C11" s="7" t="s">
        <v>28</v>
      </c>
      <c r="D11" s="8" t="s">
        <v>29</v>
      </c>
      <c r="E11" s="14" t="s">
        <v>30</v>
      </c>
      <c r="F11" s="10" t="n">
        <v>2</v>
      </c>
    </row>
    <row r="12" customFormat="false" ht="15" hidden="false" customHeight="false" outlineLevel="0" collapsed="false">
      <c r="A12" s="11" t="s">
        <v>21</v>
      </c>
      <c r="B12" s="12"/>
      <c r="C12" s="7" t="s">
        <v>31</v>
      </c>
      <c r="D12" s="8" t="s">
        <v>32</v>
      </c>
      <c r="E12" s="14" t="s">
        <v>30</v>
      </c>
      <c r="F12" s="10" t="n">
        <v>1</v>
      </c>
    </row>
    <row r="13" customFormat="false" ht="15" hidden="false" customHeight="false" outlineLevel="0" collapsed="false">
      <c r="A13" s="11" t="s">
        <v>21</v>
      </c>
      <c r="B13" s="12"/>
      <c r="C13" s="7" t="s">
        <v>33</v>
      </c>
      <c r="D13" s="8" t="s">
        <v>34</v>
      </c>
      <c r="E13" s="9" t="s">
        <v>18</v>
      </c>
      <c r="F13" s="10" t="n">
        <v>1.5</v>
      </c>
    </row>
    <row r="14" customFormat="false" ht="15" hidden="false" customHeight="false" outlineLevel="0" collapsed="false">
      <c r="A14" s="5" t="s">
        <v>35</v>
      </c>
      <c r="B14" s="6" t="s">
        <v>36</v>
      </c>
      <c r="C14" s="7" t="s">
        <v>37</v>
      </c>
      <c r="D14" s="8" t="s">
        <v>38</v>
      </c>
      <c r="E14" s="14" t="s">
        <v>30</v>
      </c>
      <c r="F14" s="10" t="n">
        <v>2.5</v>
      </c>
    </row>
    <row r="15" customFormat="false" ht="15" hidden="false" customHeight="false" outlineLevel="0" collapsed="false">
      <c r="A15" s="11" t="s">
        <v>35</v>
      </c>
      <c r="B15" s="12"/>
      <c r="C15" s="7" t="s">
        <v>39</v>
      </c>
      <c r="D15" s="8" t="s">
        <v>40</v>
      </c>
      <c r="E15" s="15" t="s">
        <v>41</v>
      </c>
      <c r="F15" s="10" t="n">
        <v>1.5</v>
      </c>
    </row>
    <row r="16" customFormat="false" ht="15" hidden="false" customHeight="false" outlineLevel="0" collapsed="false">
      <c r="A16" s="11" t="s">
        <v>35</v>
      </c>
      <c r="B16" s="12"/>
      <c r="C16" s="7" t="s">
        <v>42</v>
      </c>
      <c r="D16" s="8" t="s">
        <v>43</v>
      </c>
      <c r="E16" s="14" t="s">
        <v>30</v>
      </c>
      <c r="F16" s="10" t="n">
        <v>2</v>
      </c>
    </row>
    <row r="17" customFormat="false" ht="15" hidden="false" customHeight="false" outlineLevel="0" collapsed="false">
      <c r="A17" s="11" t="s">
        <v>35</v>
      </c>
      <c r="B17" s="12"/>
      <c r="C17" s="7" t="s">
        <v>44</v>
      </c>
      <c r="D17" s="8" t="s">
        <v>45</v>
      </c>
      <c r="E17" s="16" t="s">
        <v>46</v>
      </c>
      <c r="F17" s="10" t="n">
        <v>1</v>
      </c>
    </row>
    <row r="18" customFormat="false" ht="15" hidden="false" customHeight="false" outlineLevel="0" collapsed="false">
      <c r="A18" s="11" t="s">
        <v>35</v>
      </c>
      <c r="B18" s="12"/>
      <c r="C18" s="7" t="s">
        <v>33</v>
      </c>
      <c r="D18" s="8" t="s">
        <v>47</v>
      </c>
      <c r="E18" s="9" t="s">
        <v>18</v>
      </c>
      <c r="F18" s="10" t="n">
        <v>1</v>
      </c>
    </row>
    <row r="19" customFormat="false" ht="15" hidden="false" customHeight="false" outlineLevel="0" collapsed="false">
      <c r="A19" s="5" t="s">
        <v>48</v>
      </c>
      <c r="B19" s="6" t="s">
        <v>49</v>
      </c>
      <c r="C19" s="7" t="s">
        <v>50</v>
      </c>
      <c r="D19" s="8" t="s">
        <v>51</v>
      </c>
      <c r="E19" s="15" t="s">
        <v>41</v>
      </c>
      <c r="F19" s="10" t="n">
        <v>1</v>
      </c>
    </row>
    <row r="20" customFormat="false" ht="15" hidden="false" customHeight="false" outlineLevel="0" collapsed="false">
      <c r="A20" s="11" t="s">
        <v>48</v>
      </c>
      <c r="B20" s="12"/>
      <c r="C20" s="7" t="s">
        <v>52</v>
      </c>
      <c r="D20" s="8" t="s">
        <v>53</v>
      </c>
      <c r="E20" s="15" t="s">
        <v>41</v>
      </c>
      <c r="F20" s="10" t="n">
        <v>2</v>
      </c>
    </row>
    <row r="21" customFormat="false" ht="15" hidden="false" customHeight="false" outlineLevel="0" collapsed="false">
      <c r="A21" s="11" t="s">
        <v>48</v>
      </c>
      <c r="B21" s="12"/>
      <c r="C21" s="7" t="s">
        <v>54</v>
      </c>
      <c r="D21" s="8" t="s">
        <v>55</v>
      </c>
      <c r="E21" s="15" t="s">
        <v>41</v>
      </c>
      <c r="F21" s="10" t="n">
        <v>2.5</v>
      </c>
    </row>
    <row r="22" customFormat="false" ht="23.85" hidden="false" customHeight="false" outlineLevel="0" collapsed="false">
      <c r="A22" s="11" t="s">
        <v>48</v>
      </c>
      <c r="B22" s="12"/>
      <c r="C22" s="7" t="s">
        <v>56</v>
      </c>
      <c r="D22" s="8" t="s">
        <v>57</v>
      </c>
      <c r="E22" s="15" t="s">
        <v>41</v>
      </c>
      <c r="F22" s="10" t="n">
        <v>2.5</v>
      </c>
    </row>
    <row r="23" customFormat="false" ht="15" hidden="false" customHeight="false" outlineLevel="0" collapsed="false">
      <c r="A23" s="5" t="s">
        <v>58</v>
      </c>
      <c r="B23" s="6" t="s">
        <v>59</v>
      </c>
      <c r="C23" s="7" t="s">
        <v>60</v>
      </c>
      <c r="D23" s="8" t="s">
        <v>61</v>
      </c>
      <c r="E23" s="15" t="s">
        <v>41</v>
      </c>
      <c r="F23" s="10" t="n">
        <v>1</v>
      </c>
    </row>
    <row r="24" customFormat="false" ht="15" hidden="false" customHeight="false" outlineLevel="0" collapsed="false">
      <c r="A24" s="11" t="s">
        <v>58</v>
      </c>
      <c r="B24" s="12"/>
      <c r="C24" s="7" t="s">
        <v>62</v>
      </c>
      <c r="D24" s="8" t="s">
        <v>63</v>
      </c>
      <c r="E24" s="16" t="s">
        <v>46</v>
      </c>
      <c r="F24" s="10" t="n">
        <v>0.5</v>
      </c>
    </row>
    <row r="25" customFormat="false" ht="15" hidden="false" customHeight="false" outlineLevel="0" collapsed="false">
      <c r="A25" s="11" t="s">
        <v>58</v>
      </c>
      <c r="B25" s="12"/>
      <c r="C25" s="7" t="s">
        <v>64</v>
      </c>
      <c r="D25" s="8" t="s">
        <v>65</v>
      </c>
      <c r="E25" s="16" t="s">
        <v>46</v>
      </c>
      <c r="F25" s="10" t="n">
        <v>0.5</v>
      </c>
    </row>
    <row r="26" customFormat="false" ht="15" hidden="false" customHeight="false" outlineLevel="0" collapsed="false">
      <c r="A26" s="11" t="s">
        <v>58</v>
      </c>
      <c r="B26" s="12"/>
      <c r="C26" s="7" t="s">
        <v>66</v>
      </c>
      <c r="D26" s="8" t="s">
        <v>67</v>
      </c>
      <c r="E26" s="9" t="s">
        <v>18</v>
      </c>
      <c r="F26" s="10" t="n">
        <v>1</v>
      </c>
    </row>
    <row r="27" customFormat="false" ht="15" hidden="false" customHeight="false" outlineLevel="0" collapsed="false">
      <c r="A27" s="11" t="s">
        <v>58</v>
      </c>
      <c r="B27" s="12"/>
      <c r="C27" s="7" t="s">
        <v>66</v>
      </c>
      <c r="D27" s="8" t="s">
        <v>68</v>
      </c>
      <c r="E27" s="9" t="s">
        <v>18</v>
      </c>
      <c r="F27" s="10" t="n">
        <v>2</v>
      </c>
    </row>
    <row r="28" customFormat="false" ht="15" hidden="false" customHeight="false" outlineLevel="0" collapsed="false">
      <c r="A28" s="11" t="s">
        <v>58</v>
      </c>
      <c r="B28" s="12"/>
      <c r="C28" s="7" t="s">
        <v>66</v>
      </c>
      <c r="D28" s="8" t="s">
        <v>69</v>
      </c>
      <c r="E28" s="9" t="s">
        <v>18</v>
      </c>
      <c r="F28" s="10" t="n">
        <v>1.5</v>
      </c>
    </row>
    <row r="29" customFormat="false" ht="15" hidden="false" customHeight="false" outlineLevel="0" collapsed="false">
      <c r="A29" s="11" t="s">
        <v>58</v>
      </c>
      <c r="B29" s="12"/>
      <c r="C29" s="7" t="s">
        <v>70</v>
      </c>
      <c r="D29" s="8" t="s">
        <v>71</v>
      </c>
      <c r="E29" s="9" t="s">
        <v>18</v>
      </c>
      <c r="F29" s="10" t="n">
        <v>1.5</v>
      </c>
    </row>
    <row r="30" customFormat="false" ht="15" hidden="false" customHeight="false" outlineLevel="0" collapsed="false">
      <c r="D30" s="17" t="s">
        <v>72</v>
      </c>
      <c r="F30" s="18" t="n">
        <f aca="false">SUM(F6:F29)</f>
        <v>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73</v>
      </c>
      <c r="B1" s="1"/>
      <c r="C1" s="1"/>
      <c r="D1" s="1"/>
    </row>
    <row r="3" customFormat="false" ht="15" hidden="false" customHeight="false" outlineLevel="0" collapsed="false">
      <c r="A3" s="19" t="s">
        <v>8</v>
      </c>
      <c r="B3" s="19" t="s">
        <v>9</v>
      </c>
      <c r="C3" s="19" t="s">
        <v>74</v>
      </c>
      <c r="D3" s="19" t="s">
        <v>13</v>
      </c>
    </row>
    <row r="4" customFormat="false" ht="15" hidden="false" customHeight="false" outlineLevel="0" collapsed="false">
      <c r="A4" s="20" t="s">
        <v>14</v>
      </c>
      <c r="B4" s="20" t="s">
        <v>15</v>
      </c>
      <c r="C4" s="20" t="s">
        <v>75</v>
      </c>
      <c r="D4" s="21" t="n">
        <f aca="false">SUMIF(Timesheet!A:A,A4,Timesheet!F:F)</f>
        <v>8</v>
      </c>
    </row>
    <row r="5" customFormat="false" ht="15" hidden="false" customHeight="false" outlineLevel="0" collapsed="false">
      <c r="A5" s="20" t="s">
        <v>21</v>
      </c>
      <c r="B5" s="20" t="s">
        <v>22</v>
      </c>
      <c r="C5" s="20" t="s">
        <v>76</v>
      </c>
      <c r="D5" s="21" t="n">
        <f aca="false">SUMIF(Timesheet!A:A,A5,Timesheet!F:F)</f>
        <v>8</v>
      </c>
    </row>
    <row r="6" customFormat="false" ht="15" hidden="false" customHeight="false" outlineLevel="0" collapsed="false">
      <c r="A6" s="20" t="s">
        <v>35</v>
      </c>
      <c r="B6" s="20" t="s">
        <v>36</v>
      </c>
      <c r="C6" s="20" t="s">
        <v>77</v>
      </c>
      <c r="D6" s="21" t="n">
        <f aca="false">SUMIF(Timesheet!A:A,A6,Timesheet!F:F)</f>
        <v>8</v>
      </c>
    </row>
    <row r="7" customFormat="false" ht="15" hidden="false" customHeight="false" outlineLevel="0" collapsed="false">
      <c r="A7" s="20" t="s">
        <v>48</v>
      </c>
      <c r="B7" s="20" t="s">
        <v>49</v>
      </c>
      <c r="C7" s="20" t="s">
        <v>78</v>
      </c>
      <c r="D7" s="21" t="n">
        <f aca="false">SUMIF(Timesheet!A:A,A7,Timesheet!F:F)</f>
        <v>8</v>
      </c>
    </row>
    <row r="8" customFormat="false" ht="15" hidden="false" customHeight="false" outlineLevel="0" collapsed="false">
      <c r="A8" s="20" t="s">
        <v>58</v>
      </c>
      <c r="B8" s="20" t="s">
        <v>59</v>
      </c>
      <c r="C8" s="20" t="s">
        <v>79</v>
      </c>
      <c r="D8" s="21" t="n">
        <f aca="false">SUMIF(Timesheet!A:A,A8,Timesheet!F:F)</f>
        <v>8</v>
      </c>
    </row>
    <row r="9" customFormat="false" ht="15" hidden="false" customHeight="false" outlineLevel="0" collapsed="false">
      <c r="C9" s="17" t="s">
        <v>72</v>
      </c>
      <c r="D9" s="22" t="n">
        <f aca="false">SUM(D4:D8)</f>
        <v>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</cols>
  <sheetData>
    <row r="1" customFormat="false" ht="17.35" hidden="false" customHeight="false" outlineLevel="0" collapsed="false">
      <c r="A1" s="1" t="s">
        <v>80</v>
      </c>
      <c r="B1" s="1"/>
      <c r="C1" s="1"/>
    </row>
    <row r="3" customFormat="false" ht="15" hidden="false" customHeight="false" outlineLevel="0" collapsed="false">
      <c r="A3" s="19" t="s">
        <v>12</v>
      </c>
      <c r="B3" s="19" t="s">
        <v>81</v>
      </c>
      <c r="C3" s="19" t="s">
        <v>13</v>
      </c>
    </row>
    <row r="4" customFormat="false" ht="15" hidden="false" customHeight="false" outlineLevel="0" collapsed="false">
      <c r="A4" s="23" t="s">
        <v>25</v>
      </c>
      <c r="B4" s="20" t="n">
        <f aca="false">COUNTIF(Timesheet!E:E,"Critical")</f>
        <v>2</v>
      </c>
      <c r="C4" s="21" t="n">
        <f aca="false">SUMIF(Timesheet!E:E,"Critical",Timesheet!F:F)</f>
        <v>3.5</v>
      </c>
    </row>
    <row r="5" customFormat="false" ht="15" hidden="false" customHeight="false" outlineLevel="0" collapsed="false">
      <c r="A5" s="24" t="s">
        <v>30</v>
      </c>
      <c r="B5" s="20" t="n">
        <f aca="false">COUNTIF(Timesheet!E:E,"High")</f>
        <v>4</v>
      </c>
      <c r="C5" s="21" t="n">
        <f aca="false">SUMIF(Timesheet!E:E,"High",Timesheet!F:F)</f>
        <v>7.5</v>
      </c>
    </row>
    <row r="6" customFormat="false" ht="15" hidden="false" customHeight="false" outlineLevel="0" collapsed="false">
      <c r="A6" s="25" t="s">
        <v>41</v>
      </c>
      <c r="B6" s="20" t="n">
        <f aca="false">COUNTIF(Timesheet!E:E,"Medium")</f>
        <v>6</v>
      </c>
      <c r="C6" s="21" t="n">
        <f aca="false">SUMIF(Timesheet!E:E,"Medium",Timesheet!F:F)</f>
        <v>10.5</v>
      </c>
    </row>
    <row r="7" customFormat="false" ht="15" hidden="false" customHeight="false" outlineLevel="0" collapsed="false">
      <c r="A7" s="26" t="s">
        <v>46</v>
      </c>
      <c r="B7" s="20" t="n">
        <f aca="false">COUNTIF(Timesheet!E:E,"Quality")</f>
        <v>3</v>
      </c>
      <c r="C7" s="21" t="n">
        <f aca="false">SUMIF(Timesheet!E:E,"Quality",Timesheet!F:F)</f>
        <v>2</v>
      </c>
    </row>
    <row r="8" customFormat="false" ht="15" hidden="false" customHeight="false" outlineLevel="0" collapsed="false">
      <c r="A8" s="27" t="s">
        <v>82</v>
      </c>
      <c r="B8" s="20" t="n">
        <f aca="false">COUNTIF(Timesheet!E:E,"—")</f>
        <v>9</v>
      </c>
      <c r="C8" s="21" t="n">
        <f aca="false">SUMIF(Timesheet!E:E,"—",Timesheet!F:F)</f>
        <v>16.5</v>
      </c>
    </row>
    <row r="9" customFormat="false" ht="15" hidden="false" customHeight="false" outlineLevel="0" collapsed="false">
      <c r="A9" s="2" t="s">
        <v>83</v>
      </c>
      <c r="B9" s="2" t="n">
        <f aca="false">SUM(B4:B8)</f>
        <v>24</v>
      </c>
      <c r="C9" s="22" t="n">
        <f aca="false">SUM(C4:C8)</f>
        <v>40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2026-05-21T06:38:44Z</dcterms:created>
  <dc:creator>openpyxl</dc:creator>
  <dc:description/>
  <dc:language>en-US</dc:language>
  <cp:lastModifiedBy/>
  <dcterms:modified xsi:type="dcterms:W3CDTF">2026-05-21T06:38:44Z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